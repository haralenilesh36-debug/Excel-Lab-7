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<sst xmlns="http://schemas.openxmlformats.org/spreadsheetml/2006/main" count="34" uniqueCount="27">
  <si>
    <t>Employee</t>
  </si>
  <si>
    <t>Department</t>
  </si>
  <si>
    <t>Sales 1</t>
  </si>
  <si>
    <t>Sales 2</t>
  </si>
  <si>
    <t>Performance Score</t>
  </si>
  <si>
    <t>sum</t>
  </si>
  <si>
    <t>Rahul</t>
  </si>
  <si>
    <t>Sales</t>
  </si>
  <si>
    <t xml:space="preserve">Priya </t>
  </si>
  <si>
    <t>HR</t>
  </si>
  <si>
    <t>sumif</t>
  </si>
  <si>
    <t>Amit</t>
  </si>
  <si>
    <t>Sneha</t>
  </si>
  <si>
    <t>IT</t>
  </si>
  <si>
    <t>sumifs</t>
  </si>
  <si>
    <t xml:space="preserve">Karan </t>
  </si>
  <si>
    <t>avg</t>
  </si>
  <si>
    <t>Neha</t>
  </si>
  <si>
    <t>countifs</t>
  </si>
  <si>
    <t>Rohit</t>
  </si>
  <si>
    <t>avgif</t>
  </si>
  <si>
    <t>Pooja</t>
  </si>
  <si>
    <t>avgifs</t>
  </si>
  <si>
    <t>Akash</t>
  </si>
  <si>
    <t>Meena</t>
  </si>
  <si>
    <t>count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</si>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</sst>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11" totalsRowShown="0">
  <autoFilter xmlns:etc="http://www.wps.cn/officeDocument/2017/etCustomData" ref="A1:E11" etc:filterBottomFollowUsedRange="0">
    <extLst/>
  </autoFilter>
  <tableColumns count="5">
    <tableColumn id="1" name="Employee" dataDxfId="0"/>
    <tableColumn id="2" name="Department" dataDxfId="1"/>
    <tableColumn id="3" name="Sales 1" dataDxfId="2"/>
    <tableColumn id="4" name="Sales 2" dataDxfId="3"/>
    <tableColumn id="5" name="Performance Score" dataDxfId="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N9" sqref="N9"/>
    </sheetView>
  </sheetViews>
  <sheetFormatPr defaultColWidth="9.14285714285714" defaultRowHeight="15"/>
  <cols>
    <col min="1" max="1" width="10.4285714285714" style="1" customWidth="1"/>
    <col min="2" max="2" width="12.5714285714286" style="1" customWidth="1"/>
    <col min="3" max="4" width="7.57142857142857" style="1" customWidth="1"/>
    <col min="5" max="5" width="19.2857142857143" style="1" customWidth="1"/>
    <col min="8" max="8" width="12.8571428571429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>
        <f>SUM(C2:C11)</f>
        <v>428000</v>
      </c>
      <c r="K1" s="4" t="str" cm="1">
        <f t="array" ref="K1:K3">_xlfn.UNIQUE(B2:B11)</f>
        <v>Sales</v>
      </c>
      <c r="L1" s="5">
        <f>COUNTIF(B2:B11,K1)</f>
        <v>4</v>
      </c>
    </row>
    <row r="2" spans="1:12">
      <c r="A2" s="1" t="s">
        <v>6</v>
      </c>
      <c r="B2" s="1" t="s">
        <v>7</v>
      </c>
      <c r="C2" s="1">
        <v>35000</v>
      </c>
      <c r="D2" s="1">
        <v>85000</v>
      </c>
      <c r="E2" s="1">
        <v>80</v>
      </c>
      <c r="G2" s="6"/>
      <c r="H2" s="3"/>
      <c r="K2" s="4" t="str">
        <v>HR</v>
      </c>
      <c r="L2" s="5">
        <f>COUNTIF(B2:B11,K2)</f>
        <v>3</v>
      </c>
    </row>
    <row r="3" spans="1:12">
      <c r="A3" s="1" t="s">
        <v>8</v>
      </c>
      <c r="B3" s="1" t="s">
        <v>9</v>
      </c>
      <c r="C3" s="1">
        <v>40000</v>
      </c>
      <c r="D3" s="1">
        <v>60000</v>
      </c>
      <c r="E3" s="1">
        <v>75</v>
      </c>
      <c r="G3" s="2" t="s">
        <v>10</v>
      </c>
      <c r="H3" s="3">
        <f>SUMIF(B2:B11,"Sales",C2:C11)</f>
        <v>154000</v>
      </c>
      <c r="K3" s="4" t="str">
        <v>IT</v>
      </c>
      <c r="L3" s="5">
        <f>COUNTIF(B2:B11,K3)</f>
        <v>3</v>
      </c>
    </row>
    <row r="4" spans="1:12">
      <c r="A4" s="1" t="s">
        <v>11</v>
      </c>
      <c r="B4" s="1" t="s">
        <v>7</v>
      </c>
      <c r="C4" s="1">
        <v>45000</v>
      </c>
      <c r="D4" s="1">
        <v>95000</v>
      </c>
      <c r="E4" s="1">
        <v>91</v>
      </c>
      <c r="G4" s="6"/>
      <c r="H4" s="3">
        <f>SUMIF(B2:B11,"HR",C2:C11)</f>
        <v>121000</v>
      </c>
      <c r="K4" s="7"/>
      <c r="L4" s="5"/>
    </row>
    <row r="5" spans="1:12">
      <c r="A5" s="1" t="s">
        <v>12</v>
      </c>
      <c r="B5" s="1" t="s">
        <v>13</v>
      </c>
      <c r="C5" s="1">
        <v>50000</v>
      </c>
      <c r="D5" s="1">
        <v>70000</v>
      </c>
      <c r="E5" s="1">
        <v>88</v>
      </c>
      <c r="G5" s="6"/>
      <c r="H5" s="3"/>
      <c r="K5" s="4" t="s">
        <v>14</v>
      </c>
      <c r="L5" s="5">
        <f>SUMIFS(C2:C11,B2:B11,B3,A2:A11,A3)</f>
        <v>40000</v>
      </c>
    </row>
    <row r="6" spans="1:12">
      <c r="A6" s="1" t="s">
        <v>15</v>
      </c>
      <c r="B6" s="1" t="s">
        <v>7</v>
      </c>
      <c r="C6" s="1">
        <v>38000</v>
      </c>
      <c r="D6" s="1">
        <v>78000</v>
      </c>
      <c r="E6" s="1">
        <v>72</v>
      </c>
      <c r="G6" s="2" t="s">
        <v>16</v>
      </c>
      <c r="H6" s="3">
        <f>AVERAGE(C2:C11)</f>
        <v>42800</v>
      </c>
      <c r="K6" s="7"/>
      <c r="L6" s="5"/>
    </row>
    <row r="7" spans="1:12">
      <c r="A7" s="1" t="s">
        <v>17</v>
      </c>
      <c r="B7" s="1" t="s">
        <v>9</v>
      </c>
      <c r="C7" s="1">
        <v>42000</v>
      </c>
      <c r="D7" s="1">
        <v>65000</v>
      </c>
      <c r="E7" s="1">
        <v>80</v>
      </c>
      <c r="G7" s="6"/>
      <c r="H7" s="3"/>
      <c r="K7" s="4" t="s">
        <v>18</v>
      </c>
      <c r="L7" s="5">
        <f>COUNTIFS(B2:B11,B2,B2:B11,B3,B2:B11,B5)</f>
        <v>0</v>
      </c>
    </row>
    <row r="8" spans="1:12">
      <c r="A8" s="1" t="s">
        <v>19</v>
      </c>
      <c r="B8" s="1" t="s">
        <v>13</v>
      </c>
      <c r="C8" s="1">
        <v>55000</v>
      </c>
      <c r="D8" s="1">
        <v>105000</v>
      </c>
      <c r="E8" s="1">
        <v>95</v>
      </c>
      <c r="G8" s="2" t="s">
        <v>20</v>
      </c>
      <c r="H8" s="3">
        <f>AVERAGEIF(B2:B11,"HR",C2:C11)</f>
        <v>40333.3333333333</v>
      </c>
      <c r="K8" s="7"/>
      <c r="L8" s="5"/>
    </row>
    <row r="9" spans="1:12">
      <c r="A9" s="1" t="s">
        <v>21</v>
      </c>
      <c r="B9" s="1" t="s">
        <v>7</v>
      </c>
      <c r="C9" s="1">
        <v>36000</v>
      </c>
      <c r="D9" s="1">
        <v>72000</v>
      </c>
      <c r="E9" s="1">
        <v>68</v>
      </c>
      <c r="G9" s="6"/>
      <c r="H9" s="3"/>
      <c r="K9" s="4" t="s">
        <v>22</v>
      </c>
      <c r="L9" s="5">
        <f>AVERAGEIFS(C2:C11,B2:B11,B2,A2:A11,A2)</f>
        <v>35000</v>
      </c>
    </row>
    <row r="10" spans="1:12">
      <c r="A10" s="1" t="s">
        <v>23</v>
      </c>
      <c r="B10" s="1" t="s">
        <v>13</v>
      </c>
      <c r="C10" s="1">
        <v>48000</v>
      </c>
      <c r="D10" s="1">
        <v>90000</v>
      </c>
      <c r="E10" s="1">
        <v>85</v>
      </c>
      <c r="G10" s="6"/>
      <c r="H10" s="3"/>
    </row>
    <row r="11" spans="1:12">
      <c r="A11" s="1" t="s">
        <v>24</v>
      </c>
      <c r="B11" s="1" t="s">
        <v>9</v>
      </c>
      <c r="C11" s="1">
        <v>39000</v>
      </c>
      <c r="D11" s="1">
        <v>58000</v>
      </c>
      <c r="E11" s="1">
        <v>70</v>
      </c>
      <c r="G11" s="2" t="s">
        <v>25</v>
      </c>
      <c r="H11" s="3">
        <f>COUNT(C2:C11)</f>
        <v>10</v>
      </c>
    </row>
    <row r="12" spans="1:12">
      <c r="G12" s="2" t="s">
        <v>26</v>
      </c>
      <c r="H12" s="3">
        <f>COUNTIF(B2:B11,"Sales")</f>
        <v>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HARALE</dc:creator>
  <cp:lastModifiedBy>Nilesh Harale</cp:lastModifiedBy>
  <dcterms:created xsi:type="dcterms:W3CDTF">2026-09-24T03:50:00Z</dcterms:created>
  <dcterms:modified xsi:type="dcterms:W3CDTF">2026-09-24T06:46:30Z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B9810156C46E4C70A04262C9987FE4F3_11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